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HHSKwkl\data-raw\"/>
    </mc:Choice>
  </mc:AlternateContent>
  <xr:revisionPtr revIDLastSave="0" documentId="13_ncr:1_{6ECED9BE-AB31-4B94-B46C-3E11276F04AA}" xr6:coauthVersionLast="47" xr6:coauthVersionMax="47" xr10:uidLastSave="{00000000-0000-0000-0000-000000000000}"/>
  <bookViews>
    <workbookView xWindow="-120" yWindow="-120" windowWidth="29040" windowHeight="15720" xr2:uid="{3011B6A2-56D7-4A0B-88BB-C83445A79ED5}"/>
  </bookViews>
  <sheets>
    <sheet name="Blad1" sheetId="1" r:id="rId1"/>
    <sheet name="werkblad" sheetId="2" r:id="rId2"/>
  </sheets>
  <definedNames>
    <definedName name="_xlnm._FilterDatabase" localSheetId="0" hidden="1">Blad1!$A$1:$D$61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</calcChain>
</file>

<file path=xl/sharedStrings.xml><?xml version="1.0" encoding="utf-8"?>
<sst xmlns="http://schemas.openxmlformats.org/spreadsheetml/2006/main" count="299" uniqueCount="200">
  <si>
    <t>code</t>
  </si>
  <si>
    <t>url_kort</t>
  </si>
  <si>
    <t>url_krw_2022_2027</t>
  </si>
  <si>
    <t>omschrijving</t>
  </si>
  <si>
    <t>KRW_vastgesteld_2022_2027/FeatureServer/0</t>
  </si>
  <si>
    <t># Legger</t>
  </si>
  <si>
    <t># Peilbeheer</t>
  </si>
  <si>
    <t># Waterkwaliteitsmeetpunten</t>
  </si>
  <si>
    <t># Kunstwerken</t>
  </si>
  <si>
    <t># Sluis (0)</t>
  </si>
  <si>
    <t># Aquaduct (1)</t>
  </si>
  <si>
    <t># Gemaal (2)</t>
  </si>
  <si>
    <t># Stuw (4)</t>
  </si>
  <si>
    <t># Stuw Lijn (5)</t>
  </si>
  <si>
    <t># Vaste dam (7)</t>
  </si>
  <si>
    <t># Afsluitmiddel (8)</t>
  </si>
  <si>
    <t># Duiker (10)</t>
  </si>
  <si>
    <t># Duiker Punt (11)</t>
  </si>
  <si>
    <t># Inlaat (13)</t>
  </si>
  <si>
    <t># Inlaat Punt (14)</t>
  </si>
  <si>
    <t># Sifon (16)</t>
  </si>
  <si>
    <t># Sifon Punt (17)</t>
  </si>
  <si>
    <t># Brug (18)</t>
  </si>
  <si>
    <t># Put (19)</t>
  </si>
  <si>
    <t># Coupure (20)</t>
  </si>
  <si>
    <t># Kwelscherm (21)</t>
  </si>
  <si>
    <t># Drainage Punt (23)</t>
  </si>
  <si>
    <t># Drainage (24)</t>
  </si>
  <si>
    <t># Tunnel Punt (26)</t>
  </si>
  <si>
    <t># Tunnel Lijn (27)</t>
  </si>
  <si>
    <t># Wandconstructie Punt (29)</t>
  </si>
  <si>
    <t># Wandconstructie Lijn (30)</t>
  </si>
  <si>
    <t># Wandconstructie Vlak (31)</t>
  </si>
  <si>
    <t># Verankering Lijn (32)</t>
  </si>
  <si>
    <t>url_riooloverstort</t>
  </si>
  <si>
    <t>url_ecokleurenkoers_2025</t>
  </si>
  <si>
    <t>url_oppervlaktewater_lijnen</t>
  </si>
  <si>
    <t>url_oppervlaktewater_vlakken</t>
  </si>
  <si>
    <t>url_legger_sluis</t>
  </si>
  <si>
    <t>url_legger_gemaal</t>
  </si>
  <si>
    <t>url_legger_stuw</t>
  </si>
  <si>
    <t>url_legger_vaste_dam</t>
  </si>
  <si>
    <t>url_legger_inlaat</t>
  </si>
  <si>
    <t>url_legger_hydro_object_kw</t>
  </si>
  <si>
    <t>url_legger_hydro_object</t>
  </si>
  <si>
    <t>url_legger_oppervlaktewaterlichaam</t>
  </si>
  <si>
    <t>url_legger_bergingsgebied</t>
  </si>
  <si>
    <t>url_peilbesluiten</t>
  </si>
  <si>
    <t>url_peilgebieden</t>
  </si>
  <si>
    <t>url_peilafwijkingen</t>
  </si>
  <si>
    <t>url_praktijkpeilgebieden</t>
  </si>
  <si>
    <t>url_meetpunten_wkn</t>
  </si>
  <si>
    <t>url_peilschalen</t>
  </si>
  <si>
    <t>url_meetpunten_regulier</t>
  </si>
  <si>
    <t>url_beheer_sluis</t>
  </si>
  <si>
    <t>Riooloverstort/FeatureServer/0</t>
  </si>
  <si>
    <t>Ecokleurenkoers_2025/FeatureServer/0</t>
  </si>
  <si>
    <t>Oppervlaktewater_Categorie/FeatureServer/1</t>
  </si>
  <si>
    <t>Oppervlaktewater_Categorie/FeatureServer/2</t>
  </si>
  <si>
    <t>Vigerende_Legger_Watersystemen/FeatureServer/0</t>
  </si>
  <si>
    <t>Vigerende_Legger_Watersystemen/FeatureServer/1</t>
  </si>
  <si>
    <t>Vigerende_Legger_Watersystemen/FeatureServer/2</t>
  </si>
  <si>
    <t>Vigerende_Legger_Watersystemen/FeatureServer/3</t>
  </si>
  <si>
    <t>Vigerende_Legger_Watersystemen/FeatureServer/4</t>
  </si>
  <si>
    <t>Vigerende_Legger_Watersystemen/FeatureServer/5</t>
  </si>
  <si>
    <t>Vigerende_Legger_Watersystemen/FeatureServer/6</t>
  </si>
  <si>
    <t>Vigerende_Legger_Watersystemen/FeatureServer/7</t>
  </si>
  <si>
    <t>Vigerende_Legger_Watersystemen/FeatureServer/8</t>
  </si>
  <si>
    <t>Peilbesluiten/FeatureServer/0</t>
  </si>
  <si>
    <t>VigerendePeilgebiedenEnPeilafwijkingen_HHSK/FeatureServer/0</t>
  </si>
  <si>
    <t>VigerendePeilgebiedenEnPeilafwijkingen_HHSK/FeatureServer/1</t>
  </si>
  <si>
    <t>Praktijkpeilgebieden_HHSK/FeatureServer/0</t>
  </si>
  <si>
    <t>Peilbeheer_HHSK/FeatureServer/0</t>
  </si>
  <si>
    <t>Peilbeheer_HHSK/FeatureServer/1</t>
  </si>
  <si>
    <t>Waterkwaliteitsmeetpunt/FeatureServer/0</t>
  </si>
  <si>
    <t>HHSK_Kunstwerken/FeatureServer/0</t>
  </si>
  <si>
    <t>Regulier</t>
  </si>
  <si>
    <t>KRW</t>
  </si>
  <si>
    <t>Quickscan</t>
  </si>
  <si>
    <t>Vlakdekkend</t>
  </si>
  <si>
    <t>KWA</t>
  </si>
  <si>
    <t>Diepteprofiel</t>
  </si>
  <si>
    <t>NVO</t>
  </si>
  <si>
    <t>Vis</t>
  </si>
  <si>
    <t>Maaibeheer</t>
  </si>
  <si>
    <t>Stadswater</t>
  </si>
  <si>
    <t>Handhaving</t>
  </si>
  <si>
    <t>Overig</t>
  </si>
  <si>
    <t>Gebiedsgerichte_aanpak</t>
  </si>
  <si>
    <t>Ad_Hoc</t>
  </si>
  <si>
    <t>Sluis</t>
  </si>
  <si>
    <t>Aquaduct</t>
  </si>
  <si>
    <t>Gemaal</t>
  </si>
  <si>
    <t>Stuw</t>
  </si>
  <si>
    <t>Afsluitmiddel</t>
  </si>
  <si>
    <t>Duiker</t>
  </si>
  <si>
    <t>Inlaat</t>
  </si>
  <si>
    <t>Sifon</t>
  </si>
  <si>
    <t>Brug</t>
  </si>
  <si>
    <t>Put</t>
  </si>
  <si>
    <t>Coupure</t>
  </si>
  <si>
    <t>Kwelscherm</t>
  </si>
  <si>
    <t>Drainage</t>
  </si>
  <si>
    <t>Stuw_Lijn</t>
  </si>
  <si>
    <t>Vaste_dam</t>
  </si>
  <si>
    <t>Duiker_Punt</t>
  </si>
  <si>
    <t>Inlaat_Punt</t>
  </si>
  <si>
    <t>Sifon_Punt</t>
  </si>
  <si>
    <t>Drainage_Punt</t>
  </si>
  <si>
    <t>Tunnel_Punt</t>
  </si>
  <si>
    <t>Tunnel_Lijn</t>
  </si>
  <si>
    <t>Wandconstructie_Punt</t>
  </si>
  <si>
    <t>Wandconstructie_Lijn</t>
  </si>
  <si>
    <t>Wandconstructie_Vlak</t>
  </si>
  <si>
    <t>Verankering_Lijn</t>
  </si>
  <si>
    <t>url_meetpunten_krw</t>
  </si>
  <si>
    <t>Waterkwaliteitsmeetpunt/FeatureServer/1</t>
  </si>
  <si>
    <t>url_meetpunten_quickscan</t>
  </si>
  <si>
    <t>Waterkwaliteitsmeetpunt/FeatureServer/2</t>
  </si>
  <si>
    <t>url_meetpunten_vlakdekkend</t>
  </si>
  <si>
    <t>Waterkwaliteitsmeetpunt/FeatureServer/3</t>
  </si>
  <si>
    <t>url_meetpunten_kwa</t>
  </si>
  <si>
    <t>Waterkwaliteitsmeetpunt/FeatureServer/4</t>
  </si>
  <si>
    <t>url_meetpunten_diepteprofiel</t>
  </si>
  <si>
    <t>Waterkwaliteitsmeetpunt/FeatureServer/5</t>
  </si>
  <si>
    <t>url_meetpunten_nvo</t>
  </si>
  <si>
    <t>Waterkwaliteitsmeetpunt/FeatureServer/6</t>
  </si>
  <si>
    <t>url_meetpunten_vis</t>
  </si>
  <si>
    <t>Waterkwaliteitsmeetpunt/FeatureServer/7</t>
  </si>
  <si>
    <t>url_meetpunten_maaibeheer</t>
  </si>
  <si>
    <t>Waterkwaliteitsmeetpunt/FeatureServer/8</t>
  </si>
  <si>
    <t>url_meetpunten_stadswater</t>
  </si>
  <si>
    <t>Waterkwaliteitsmeetpunt/FeatureServer/9</t>
  </si>
  <si>
    <t>url_meetpunten_gebiedsgerichte_aanpak</t>
  </si>
  <si>
    <t>Waterkwaliteitsmeetpunt/FeatureServer/10</t>
  </si>
  <si>
    <t>url_meetpunten_ad_hoc</t>
  </si>
  <si>
    <t>Waterkwaliteitsmeetpunt/FeatureServer/11</t>
  </si>
  <si>
    <t>url_meetpunten_handhaving</t>
  </si>
  <si>
    <t>Waterkwaliteitsmeetpunt/FeatureServer/12</t>
  </si>
  <si>
    <t>url_meetpunten_overig</t>
  </si>
  <si>
    <t>Waterkwaliteitsmeetpunt/FeatureServer/13</t>
  </si>
  <si>
    <t>HHSK_Kunstwerken/FeatureServer/1</t>
  </si>
  <si>
    <t>HHSK_Kunstwerken/FeatureServer/2</t>
  </si>
  <si>
    <t>HHSK_Kunstwerken/FeatureServer/4</t>
  </si>
  <si>
    <t>HHSK_Kunstwerken/FeatureServer/5</t>
  </si>
  <si>
    <t>HHSK_Kunstwerken/FeatureServer/7</t>
  </si>
  <si>
    <t>HHSK_Kunstwerken/FeatureServer/8</t>
  </si>
  <si>
    <t>HHSK_Kunstwerken/FeatureServer/10</t>
  </si>
  <si>
    <t>HHSK_Kunstwerken/FeatureServer/11</t>
  </si>
  <si>
    <t>HHSK_Kunstwerken/FeatureServer/13</t>
  </si>
  <si>
    <t>HHSK_Kunstwerken/FeatureServer/14</t>
  </si>
  <si>
    <t>HHSK_Kunstwerken/FeatureServer/16</t>
  </si>
  <si>
    <t>HHSK_Kunstwerken/FeatureServer/17</t>
  </si>
  <si>
    <t>HHSK_Kunstwerken/FeatureServer/18</t>
  </si>
  <si>
    <t>HHSK_Kunstwerken/FeatureServer/19</t>
  </si>
  <si>
    <t>HHSK_Kunstwerken/FeatureServer/20</t>
  </si>
  <si>
    <t>HHSK_Kunstwerken/FeatureServer/21</t>
  </si>
  <si>
    <t>HHSK_Kunstwerken/FeatureServer/23</t>
  </si>
  <si>
    <t>HHSK_Kunstwerken/FeatureServer/24</t>
  </si>
  <si>
    <t>HHSK_Kunstwerken/FeatureServer/26</t>
  </si>
  <si>
    <t>HHSK_Kunstwerken/FeatureServer/27</t>
  </si>
  <si>
    <t>HHSK_Kunstwerken/FeatureServer/29</t>
  </si>
  <si>
    <t>HHSK_Kunstwerken/FeatureServer/30</t>
  </si>
  <si>
    <t>HHSK_Kunstwerken/FeatureServer/31</t>
  </si>
  <si>
    <t>HHSK_Kunstwerken/FeatureServer/32</t>
  </si>
  <si>
    <t>groep</t>
  </si>
  <si>
    <t>meetpunten_waterkwaliteit</t>
  </si>
  <si>
    <t>legger_watersystemen</t>
  </si>
  <si>
    <t>peilbeheer</t>
  </si>
  <si>
    <t>kunstwerken</t>
  </si>
  <si>
    <t>url_kunstwerken_sluis</t>
  </si>
  <si>
    <t>url_kunstwerken_aquaduct</t>
  </si>
  <si>
    <t>url_kunstwerken_gemaal</t>
  </si>
  <si>
    <t>url_kunstwerken_stuw</t>
  </si>
  <si>
    <t>url_kunstwerken_stuw_lijn</t>
  </si>
  <si>
    <t>url_kunstwerken_vaste_dam</t>
  </si>
  <si>
    <t>url_kunstwerken_afsluitmiddel</t>
  </si>
  <si>
    <t>url_kunstwerken_duiker</t>
  </si>
  <si>
    <t>url_kunstwerken_duiker_punt</t>
  </si>
  <si>
    <t>url_kunstwerken_inlaat</t>
  </si>
  <si>
    <t>url_kunstwerken_inlaat_punt</t>
  </si>
  <si>
    <t>url_kunstwerken_sifon</t>
  </si>
  <si>
    <t>url_kunstwerken_sifon_punt</t>
  </si>
  <si>
    <t>url_kunstwerken_brug</t>
  </si>
  <si>
    <t>url_kunstwerken_put</t>
  </si>
  <si>
    <t>url_kunstwerken_coupure</t>
  </si>
  <si>
    <t>url_kunstwerken_kwelscherm</t>
  </si>
  <si>
    <t>url_kunstwerken_drainage_punt</t>
  </si>
  <si>
    <t>url_kunstwerken_drainage</t>
  </si>
  <si>
    <t>url_kunstwerken_tunnel_punt</t>
  </si>
  <si>
    <t>url_kunstwerken_tunnel_lijn</t>
  </si>
  <si>
    <t>url_kunstwerken_wandconstructie_punt</t>
  </si>
  <si>
    <t>url_kunstwerken_wandconstructie_lijn</t>
  </si>
  <si>
    <t>url_kunstwerken_wandconstructie_vlak</t>
  </si>
  <si>
    <t>url_kunstwerken_verankering_lijn</t>
  </si>
  <si>
    <t>krw</t>
  </si>
  <si>
    <t>riooloverstort</t>
  </si>
  <si>
    <t>oppervlaktewater</t>
  </si>
  <si>
    <t>ecokleurenkoers_2025</t>
  </si>
  <si>
    <t>url_lang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</si>
</sst>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44E1-9F04-4AA2-9B7D-64A9A5274CB0}">
  <dimension ref="A1:E61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0.7109375" defaultRowHeight="15" x14ac:dyDescent="0.25"/>
  <cols>
    <col min="1" max="1" width="25" bestFit="1" customWidth="1"/>
    <col min="2" max="2" width="38" bestFit="1" customWidth="1"/>
    <col min="3" max="3" width="14.7109375" bestFit="1" customWidth="1"/>
    <col min="4" max="4" width="58" bestFit="1" customWidth="1"/>
  </cols>
  <sheetData>
    <row r="1" spans="1:5" x14ac:dyDescent="0.25">
      <c r="A1" t="s">
        <v>165</v>
      </c>
      <c r="B1" t="s">
        <v>0</v>
      </c>
      <c r="C1" t="s">
        <v>3</v>
      </c>
      <c r="D1" t="s">
        <v>1</v>
      </c>
      <c r="E1" t="s">
        <v>199</v>
      </c>
    </row>
    <row r="2" spans="1:5" x14ac:dyDescent="0.25">
      <c r="A2" t="s">
        <v>195</v>
      </c>
      <c r="B2" t="s">
        <v>2</v>
      </c>
      <c r="D2" t="s">
        <v>4</v>
      </c>
      <c r="E2" t="str">
        <f>"https://services.arcgis.com/OnnVX2wGkBfflKqu/arcgis/rest/services/"&amp;D2&amp;"/query?outFields=*&amp;where=1%3D1&amp;f=geojson&amp;outSR=28992"</f>
        <v>https://services.arcgis.com/OnnVX2wGkBfflKqu/arcgis/rest/services/KRW_vastgesteld_2022_2027/FeatureServer/0/query?outFields=*&amp;where=1%3D1&amp;f=geojson&amp;outSR=28992</v>
      </c>
    </row>
    <row r="3" spans="1:5" x14ac:dyDescent="0.25">
      <c r="A3" t="s">
        <v>196</v>
      </c>
      <c r="B3" t="s">
        <v>34</v>
      </c>
      <c r="D3" t="s">
        <v>55</v>
      </c>
      <c r="E3" t="str">
        <f t="shared" ref="E3:E61" si="0">"https://services.arcgis.com/OnnVX2wGkBfflKqu/arcgis/rest/services/"&amp;D3&amp;"/query?outFields=*&amp;where=1%3D1&amp;f=geojson&amp;outSR=28992"</f>
        <v>https://services.arcgis.com/OnnVX2wGkBfflKqu/arcgis/rest/services/Riooloverstort/FeatureServer/0/query?outFields=*&amp;where=1%3D1&amp;f=geojson&amp;outSR=28992</v>
      </c>
    </row>
    <row r="4" spans="1:5" x14ac:dyDescent="0.25">
      <c r="A4" t="s">
        <v>198</v>
      </c>
      <c r="B4" t="s">
        <v>35</v>
      </c>
      <c r="D4" t="s">
        <v>56</v>
      </c>
      <c r="E4" t="str">
        <f t="shared" si="0"/>
        <v>https://services.arcgis.com/OnnVX2wGkBfflKqu/arcgis/rest/services/Ecokleurenkoers_2025/FeatureServer/0/query?outFields=*&amp;where=1%3D1&amp;f=geojson&amp;outSR=28992</v>
      </c>
    </row>
    <row r="5" spans="1:5" x14ac:dyDescent="0.25">
      <c r="A5" t="s">
        <v>197</v>
      </c>
      <c r="B5" t="s">
        <v>36</v>
      </c>
      <c r="D5" t="s">
        <v>57</v>
      </c>
      <c r="E5" t="str">
        <f t="shared" si="0"/>
        <v>https://services.arcgis.com/OnnVX2wGkBfflKqu/arcgis/rest/services/Oppervlaktewater_Categorie/FeatureServer/1/query?outFields=*&amp;where=1%3D1&amp;f=geojson&amp;outSR=28992</v>
      </c>
    </row>
    <row r="6" spans="1:5" x14ac:dyDescent="0.25">
      <c r="A6" t="s">
        <v>197</v>
      </c>
      <c r="B6" t="s">
        <v>37</v>
      </c>
      <c r="D6" t="s">
        <v>58</v>
      </c>
      <c r="E6" t="str">
        <f t="shared" si="0"/>
        <v>https://services.arcgis.com/OnnVX2wGkBfflKqu/arcgis/rest/services/Oppervlaktewater_Categorie/FeatureServer/2/query?outFields=*&amp;where=1%3D1&amp;f=geojson&amp;outSR=28992</v>
      </c>
    </row>
    <row r="7" spans="1:5" x14ac:dyDescent="0.25">
      <c r="A7" t="s">
        <v>167</v>
      </c>
      <c r="B7" t="s">
        <v>38</v>
      </c>
      <c r="D7" t="s">
        <v>59</v>
      </c>
      <c r="E7" t="str">
        <f t="shared" si="0"/>
        <v>https://services.arcgis.com/OnnVX2wGkBfflKqu/arcgis/rest/services/Vigerende_Legger_Watersystemen/FeatureServer/0/query?outFields=*&amp;where=1%3D1&amp;f=geojson&amp;outSR=28992</v>
      </c>
    </row>
    <row r="8" spans="1:5" x14ac:dyDescent="0.25">
      <c r="A8" t="s">
        <v>167</v>
      </c>
      <c r="B8" t="s">
        <v>39</v>
      </c>
      <c r="D8" t="s">
        <v>60</v>
      </c>
      <c r="E8" t="str">
        <f t="shared" si="0"/>
        <v>https://services.arcgis.com/OnnVX2wGkBfflKqu/arcgis/rest/services/Vigerende_Legger_Watersystemen/FeatureServer/1/query?outFields=*&amp;where=1%3D1&amp;f=geojson&amp;outSR=28992</v>
      </c>
    </row>
    <row r="9" spans="1:5" x14ac:dyDescent="0.25">
      <c r="A9" t="s">
        <v>167</v>
      </c>
      <c r="B9" t="s">
        <v>40</v>
      </c>
      <c r="D9" t="s">
        <v>61</v>
      </c>
      <c r="E9" t="str">
        <f t="shared" si="0"/>
        <v>https://services.arcgis.com/OnnVX2wGkBfflKqu/arcgis/rest/services/Vigerende_Legger_Watersystemen/FeatureServer/2/query?outFields=*&amp;where=1%3D1&amp;f=geojson&amp;outSR=28992</v>
      </c>
    </row>
    <row r="10" spans="1:5" x14ac:dyDescent="0.25">
      <c r="A10" t="s">
        <v>167</v>
      </c>
      <c r="B10" t="s">
        <v>41</v>
      </c>
      <c r="D10" t="s">
        <v>62</v>
      </c>
      <c r="E10" t="str">
        <f t="shared" si="0"/>
        <v>https://services.arcgis.com/OnnVX2wGkBfflKqu/arcgis/rest/services/Vigerende_Legger_Watersystemen/FeatureServer/3/query?outFields=*&amp;where=1%3D1&amp;f=geojson&amp;outSR=28992</v>
      </c>
    </row>
    <row r="11" spans="1:5" x14ac:dyDescent="0.25">
      <c r="A11" t="s">
        <v>167</v>
      </c>
      <c r="B11" t="s">
        <v>42</v>
      </c>
      <c r="D11" t="s">
        <v>63</v>
      </c>
      <c r="E11" t="str">
        <f t="shared" si="0"/>
        <v>https://services.arcgis.com/OnnVX2wGkBfflKqu/arcgis/rest/services/Vigerende_Legger_Watersystemen/FeatureServer/4/query?outFields=*&amp;where=1%3D1&amp;f=geojson&amp;outSR=28992</v>
      </c>
    </row>
    <row r="12" spans="1:5" x14ac:dyDescent="0.25">
      <c r="A12" t="s">
        <v>167</v>
      </c>
      <c r="B12" t="s">
        <v>43</v>
      </c>
      <c r="D12" t="s">
        <v>64</v>
      </c>
      <c r="E12" t="str">
        <f t="shared" si="0"/>
        <v>https://services.arcgis.com/OnnVX2wGkBfflKqu/arcgis/rest/services/Vigerende_Legger_Watersystemen/FeatureServer/5/query?outFields=*&amp;where=1%3D1&amp;f=geojson&amp;outSR=28992</v>
      </c>
    </row>
    <row r="13" spans="1:5" x14ac:dyDescent="0.25">
      <c r="A13" t="s">
        <v>167</v>
      </c>
      <c r="B13" t="s">
        <v>44</v>
      </c>
      <c r="D13" t="s">
        <v>65</v>
      </c>
      <c r="E13" t="str">
        <f t="shared" si="0"/>
        <v>https://services.arcgis.com/OnnVX2wGkBfflKqu/arcgis/rest/services/Vigerende_Legger_Watersystemen/FeatureServer/6/query?outFields=*&amp;where=1%3D1&amp;f=geojson&amp;outSR=28992</v>
      </c>
    </row>
    <row r="14" spans="1:5" x14ac:dyDescent="0.25">
      <c r="A14" t="s">
        <v>167</v>
      </c>
      <c r="B14" t="s">
        <v>45</v>
      </c>
      <c r="D14" t="s">
        <v>66</v>
      </c>
      <c r="E14" t="str">
        <f t="shared" si="0"/>
        <v>https://services.arcgis.com/OnnVX2wGkBfflKqu/arcgis/rest/services/Vigerende_Legger_Watersystemen/FeatureServer/7/query?outFields=*&amp;where=1%3D1&amp;f=geojson&amp;outSR=28992</v>
      </c>
    </row>
    <row r="15" spans="1:5" x14ac:dyDescent="0.25">
      <c r="A15" t="s">
        <v>167</v>
      </c>
      <c r="B15" t="s">
        <v>46</v>
      </c>
      <c r="D15" t="s">
        <v>67</v>
      </c>
      <c r="E15" t="str">
        <f t="shared" si="0"/>
        <v>https://services.arcgis.com/OnnVX2wGkBfflKqu/arcgis/rest/services/Vigerende_Legger_Watersystemen/FeatureServer/8/query?outFields=*&amp;where=1%3D1&amp;f=geojson&amp;outSR=28992</v>
      </c>
    </row>
    <row r="16" spans="1:5" x14ac:dyDescent="0.25">
      <c r="A16" t="s">
        <v>168</v>
      </c>
      <c r="B16" t="s">
        <v>47</v>
      </c>
      <c r="D16" t="s">
        <v>68</v>
      </c>
      <c r="E16" t="str">
        <f t="shared" si="0"/>
        <v>https://services.arcgis.com/OnnVX2wGkBfflKqu/arcgis/rest/services/Peilbesluiten/FeatureServer/0/query?outFields=*&amp;where=1%3D1&amp;f=geojson&amp;outSR=28992</v>
      </c>
    </row>
    <row r="17" spans="1:5" x14ac:dyDescent="0.25">
      <c r="A17" t="s">
        <v>168</v>
      </c>
      <c r="B17" t="s">
        <v>48</v>
      </c>
      <c r="D17" t="s">
        <v>69</v>
      </c>
      <c r="E17" t="str">
        <f t="shared" si="0"/>
        <v>https://services.arcgis.com/OnnVX2wGkBfflKqu/arcgis/rest/services/VigerendePeilgebiedenEnPeilafwijkingen_HHSK/FeatureServer/0/query?outFields=*&amp;where=1%3D1&amp;f=geojson&amp;outSR=28992</v>
      </c>
    </row>
    <row r="18" spans="1:5" x14ac:dyDescent="0.25">
      <c r="A18" t="s">
        <v>168</v>
      </c>
      <c r="B18" t="s">
        <v>49</v>
      </c>
      <c r="D18" t="s">
        <v>70</v>
      </c>
      <c r="E18" t="str">
        <f t="shared" si="0"/>
        <v>https://services.arcgis.com/OnnVX2wGkBfflKqu/arcgis/rest/services/VigerendePeilgebiedenEnPeilafwijkingen_HHSK/FeatureServer/1/query?outFields=*&amp;where=1%3D1&amp;f=geojson&amp;outSR=28992</v>
      </c>
    </row>
    <row r="19" spans="1:5" x14ac:dyDescent="0.25">
      <c r="A19" t="s">
        <v>168</v>
      </c>
      <c r="B19" t="s">
        <v>50</v>
      </c>
      <c r="D19" t="s">
        <v>71</v>
      </c>
      <c r="E19" t="str">
        <f t="shared" si="0"/>
        <v>https://services.arcgis.com/OnnVX2wGkBfflKqu/arcgis/rest/services/Praktijkpeilgebieden_HHSK/FeatureServer/0/query?outFields=*&amp;where=1%3D1&amp;f=geojson&amp;outSR=28992</v>
      </c>
    </row>
    <row r="20" spans="1:5" x14ac:dyDescent="0.25">
      <c r="A20" t="s">
        <v>168</v>
      </c>
      <c r="B20" t="s">
        <v>51</v>
      </c>
      <c r="D20" t="s">
        <v>72</v>
      </c>
      <c r="E20" t="str">
        <f t="shared" si="0"/>
        <v>https://services.arcgis.com/OnnVX2wGkBfflKqu/arcgis/rest/services/Peilbeheer_HHSK/FeatureServer/0/query?outFields=*&amp;where=1%3D1&amp;f=geojson&amp;outSR=28992</v>
      </c>
    </row>
    <row r="21" spans="1:5" x14ac:dyDescent="0.25">
      <c r="A21" t="s">
        <v>168</v>
      </c>
      <c r="B21" t="s">
        <v>52</v>
      </c>
      <c r="D21" t="s">
        <v>73</v>
      </c>
      <c r="E21" t="str">
        <f t="shared" si="0"/>
        <v>https://services.arcgis.com/OnnVX2wGkBfflKqu/arcgis/rest/services/Peilbeheer_HHSK/FeatureServer/1/query?outFields=*&amp;where=1%3D1&amp;f=geojson&amp;outSR=28992</v>
      </c>
    </row>
    <row r="22" spans="1:5" x14ac:dyDescent="0.25">
      <c r="A22" t="s">
        <v>166</v>
      </c>
      <c r="B22" t="s">
        <v>53</v>
      </c>
      <c r="D22" t="s">
        <v>74</v>
      </c>
      <c r="E22" t="str">
        <f t="shared" si="0"/>
        <v>https://services.arcgis.com/OnnVX2wGkBfflKqu/arcgis/rest/services/Waterkwaliteitsmeetpunt/FeatureServer/0/query?outFields=*&amp;where=1%3D1&amp;f=geojson&amp;outSR=28992</v>
      </c>
    </row>
    <row r="23" spans="1:5" x14ac:dyDescent="0.25">
      <c r="A23" t="s">
        <v>166</v>
      </c>
      <c r="B23" t="s">
        <v>115</v>
      </c>
      <c r="D23" t="s">
        <v>116</v>
      </c>
      <c r="E23" t="str">
        <f t="shared" si="0"/>
        <v>https://services.arcgis.com/OnnVX2wGkBfflKqu/arcgis/rest/services/Waterkwaliteitsmeetpunt/FeatureServer/1/query?outFields=*&amp;where=1%3D1&amp;f=geojson&amp;outSR=28992</v>
      </c>
    </row>
    <row r="24" spans="1:5" x14ac:dyDescent="0.25">
      <c r="A24" t="s">
        <v>166</v>
      </c>
      <c r="B24" t="s">
        <v>117</v>
      </c>
      <c r="D24" t="s">
        <v>118</v>
      </c>
      <c r="E24" t="str">
        <f t="shared" si="0"/>
        <v>https://services.arcgis.com/OnnVX2wGkBfflKqu/arcgis/rest/services/Waterkwaliteitsmeetpunt/FeatureServer/2/query?outFields=*&amp;where=1%3D1&amp;f=geojson&amp;outSR=28992</v>
      </c>
    </row>
    <row r="25" spans="1:5" x14ac:dyDescent="0.25">
      <c r="A25" t="s">
        <v>166</v>
      </c>
      <c r="B25" t="s">
        <v>119</v>
      </c>
      <c r="D25" t="s">
        <v>120</v>
      </c>
      <c r="E25" t="str">
        <f t="shared" si="0"/>
        <v>https://services.arcgis.com/OnnVX2wGkBfflKqu/arcgis/rest/services/Waterkwaliteitsmeetpunt/FeatureServer/3/query?outFields=*&amp;where=1%3D1&amp;f=geojson&amp;outSR=28992</v>
      </c>
    </row>
    <row r="26" spans="1:5" x14ac:dyDescent="0.25">
      <c r="A26" t="s">
        <v>166</v>
      </c>
      <c r="B26" t="s">
        <v>121</v>
      </c>
      <c r="D26" t="s">
        <v>122</v>
      </c>
      <c r="E26" t="str">
        <f t="shared" si="0"/>
        <v>https://services.arcgis.com/OnnVX2wGkBfflKqu/arcgis/rest/services/Waterkwaliteitsmeetpunt/FeatureServer/4/query?outFields=*&amp;where=1%3D1&amp;f=geojson&amp;outSR=28992</v>
      </c>
    </row>
    <row r="27" spans="1:5" x14ac:dyDescent="0.25">
      <c r="A27" t="s">
        <v>166</v>
      </c>
      <c r="B27" t="s">
        <v>123</v>
      </c>
      <c r="D27" t="s">
        <v>124</v>
      </c>
      <c r="E27" t="str">
        <f t="shared" si="0"/>
        <v>https://services.arcgis.com/OnnVX2wGkBfflKqu/arcgis/rest/services/Waterkwaliteitsmeetpunt/FeatureServer/5/query?outFields=*&amp;where=1%3D1&amp;f=geojson&amp;outSR=28992</v>
      </c>
    </row>
    <row r="28" spans="1:5" x14ac:dyDescent="0.25">
      <c r="A28" t="s">
        <v>166</v>
      </c>
      <c r="B28" t="s">
        <v>125</v>
      </c>
      <c r="D28" t="s">
        <v>126</v>
      </c>
      <c r="E28" t="str">
        <f t="shared" si="0"/>
        <v>https://services.arcgis.com/OnnVX2wGkBfflKqu/arcgis/rest/services/Waterkwaliteitsmeetpunt/FeatureServer/6/query?outFields=*&amp;where=1%3D1&amp;f=geojson&amp;outSR=28992</v>
      </c>
    </row>
    <row r="29" spans="1:5" x14ac:dyDescent="0.25">
      <c r="A29" t="s">
        <v>166</v>
      </c>
      <c r="B29" t="s">
        <v>127</v>
      </c>
      <c r="D29" t="s">
        <v>128</v>
      </c>
      <c r="E29" t="str">
        <f t="shared" si="0"/>
        <v>https://services.arcgis.com/OnnVX2wGkBfflKqu/arcgis/rest/services/Waterkwaliteitsmeetpunt/FeatureServer/7/query?outFields=*&amp;where=1%3D1&amp;f=geojson&amp;outSR=28992</v>
      </c>
    </row>
    <row r="30" spans="1:5" x14ac:dyDescent="0.25">
      <c r="A30" t="s">
        <v>166</v>
      </c>
      <c r="B30" t="s">
        <v>129</v>
      </c>
      <c r="D30" t="s">
        <v>130</v>
      </c>
      <c r="E30" t="str">
        <f t="shared" si="0"/>
        <v>https://services.arcgis.com/OnnVX2wGkBfflKqu/arcgis/rest/services/Waterkwaliteitsmeetpunt/FeatureServer/8/query?outFields=*&amp;where=1%3D1&amp;f=geojson&amp;outSR=28992</v>
      </c>
    </row>
    <row r="31" spans="1:5" x14ac:dyDescent="0.25">
      <c r="A31" t="s">
        <v>166</v>
      </c>
      <c r="B31" t="s">
        <v>131</v>
      </c>
      <c r="D31" t="s">
        <v>132</v>
      </c>
      <c r="E31" t="str">
        <f t="shared" si="0"/>
        <v>https://services.arcgis.com/OnnVX2wGkBfflKqu/arcgis/rest/services/Waterkwaliteitsmeetpunt/FeatureServer/9/query?outFields=*&amp;where=1%3D1&amp;f=geojson&amp;outSR=28992</v>
      </c>
    </row>
    <row r="32" spans="1:5" x14ac:dyDescent="0.25">
      <c r="A32" t="s">
        <v>166</v>
      </c>
      <c r="B32" t="s">
        <v>133</v>
      </c>
      <c r="D32" t="s">
        <v>134</v>
      </c>
      <c r="E32" t="str">
        <f t="shared" si="0"/>
        <v>https://services.arcgis.com/OnnVX2wGkBfflKqu/arcgis/rest/services/Waterkwaliteitsmeetpunt/FeatureServer/10/query?outFields=*&amp;where=1%3D1&amp;f=geojson&amp;outSR=28992</v>
      </c>
    </row>
    <row r="33" spans="1:5" x14ac:dyDescent="0.25">
      <c r="A33" t="s">
        <v>166</v>
      </c>
      <c r="B33" t="s">
        <v>135</v>
      </c>
      <c r="D33" t="s">
        <v>136</v>
      </c>
      <c r="E33" t="str">
        <f t="shared" si="0"/>
        <v>https://services.arcgis.com/OnnVX2wGkBfflKqu/arcgis/rest/services/Waterkwaliteitsmeetpunt/FeatureServer/11/query?outFields=*&amp;where=1%3D1&amp;f=geojson&amp;outSR=28992</v>
      </c>
    </row>
    <row r="34" spans="1:5" x14ac:dyDescent="0.25">
      <c r="A34" t="s">
        <v>166</v>
      </c>
      <c r="B34" t="s">
        <v>137</v>
      </c>
      <c r="D34" t="s">
        <v>138</v>
      </c>
      <c r="E34" t="str">
        <f t="shared" si="0"/>
        <v>https://services.arcgis.com/OnnVX2wGkBfflKqu/arcgis/rest/services/Waterkwaliteitsmeetpunt/FeatureServer/12/query?outFields=*&amp;where=1%3D1&amp;f=geojson&amp;outSR=28992</v>
      </c>
    </row>
    <row r="35" spans="1:5" x14ac:dyDescent="0.25">
      <c r="A35" t="s">
        <v>166</v>
      </c>
      <c r="B35" t="s">
        <v>139</v>
      </c>
      <c r="D35" t="s">
        <v>140</v>
      </c>
      <c r="E35" t="str">
        <f t="shared" si="0"/>
        <v>https://services.arcgis.com/OnnVX2wGkBfflKqu/arcgis/rest/services/Waterkwaliteitsmeetpunt/FeatureServer/13/query?outFields=*&amp;where=1%3D1&amp;f=geojson&amp;outSR=28992</v>
      </c>
    </row>
    <row r="36" spans="1:5" x14ac:dyDescent="0.25">
      <c r="A36" t="s">
        <v>169</v>
      </c>
      <c r="B36" t="s">
        <v>170</v>
      </c>
      <c r="D36" t="s">
        <v>75</v>
      </c>
      <c r="E36" t="str">
        <f t="shared" si="0"/>
        <v>https://services.arcgis.com/OnnVX2wGkBfflKqu/arcgis/rest/services/HHSK_Kunstwerken/FeatureServer/0/query?outFields=*&amp;where=1%3D1&amp;f=geojson&amp;outSR=28992</v>
      </c>
    </row>
    <row r="37" spans="1:5" x14ac:dyDescent="0.25">
      <c r="A37" t="s">
        <v>169</v>
      </c>
      <c r="B37" t="s">
        <v>170</v>
      </c>
      <c r="D37" t="s">
        <v>75</v>
      </c>
      <c r="E37" t="str">
        <f t="shared" si="0"/>
        <v>https://services.arcgis.com/OnnVX2wGkBfflKqu/arcgis/rest/services/HHSK_Kunstwerken/FeatureServer/0/query?outFields=*&amp;where=1%3D1&amp;f=geojson&amp;outSR=28992</v>
      </c>
    </row>
    <row r="38" spans="1:5" x14ac:dyDescent="0.25">
      <c r="A38" t="s">
        <v>169</v>
      </c>
      <c r="B38" t="s">
        <v>171</v>
      </c>
      <c r="D38" t="s">
        <v>141</v>
      </c>
      <c r="E38" t="str">
        <f t="shared" si="0"/>
        <v>https://services.arcgis.com/OnnVX2wGkBfflKqu/arcgis/rest/services/HHSK_Kunstwerken/FeatureServer/1/query?outFields=*&amp;where=1%3D1&amp;f=geojson&amp;outSR=28992</v>
      </c>
    </row>
    <row r="39" spans="1:5" x14ac:dyDescent="0.25">
      <c r="A39" t="s">
        <v>169</v>
      </c>
      <c r="B39" t="s">
        <v>172</v>
      </c>
      <c r="D39" t="s">
        <v>142</v>
      </c>
      <c r="E39" t="str">
        <f t="shared" si="0"/>
        <v>https://services.arcgis.com/OnnVX2wGkBfflKqu/arcgis/rest/services/HHSK_Kunstwerken/FeatureServer/2/query?outFields=*&amp;where=1%3D1&amp;f=geojson&amp;outSR=28992</v>
      </c>
    </row>
    <row r="40" spans="1:5" x14ac:dyDescent="0.25">
      <c r="A40" t="s">
        <v>169</v>
      </c>
      <c r="B40" t="s">
        <v>173</v>
      </c>
      <c r="D40" t="s">
        <v>143</v>
      </c>
      <c r="E40" t="str">
        <f t="shared" si="0"/>
        <v>https://services.arcgis.com/OnnVX2wGkBfflKqu/arcgis/rest/services/HHSK_Kunstwerken/FeatureServer/4/query?outFields=*&amp;where=1%3D1&amp;f=geojson&amp;outSR=28992</v>
      </c>
    </row>
    <row r="41" spans="1:5" x14ac:dyDescent="0.25">
      <c r="A41" t="s">
        <v>169</v>
      </c>
      <c r="B41" t="s">
        <v>174</v>
      </c>
      <c r="D41" t="s">
        <v>144</v>
      </c>
      <c r="E41" t="str">
        <f t="shared" si="0"/>
        <v>https://services.arcgis.com/OnnVX2wGkBfflKqu/arcgis/rest/services/HHSK_Kunstwerken/FeatureServer/5/query?outFields=*&amp;where=1%3D1&amp;f=geojson&amp;outSR=28992</v>
      </c>
    </row>
    <row r="42" spans="1:5" x14ac:dyDescent="0.25">
      <c r="A42" t="s">
        <v>169</v>
      </c>
      <c r="B42" t="s">
        <v>175</v>
      </c>
      <c r="D42" t="s">
        <v>145</v>
      </c>
      <c r="E42" t="str">
        <f t="shared" si="0"/>
        <v>https://services.arcgis.com/OnnVX2wGkBfflKqu/arcgis/rest/services/HHSK_Kunstwerken/FeatureServer/7/query?outFields=*&amp;where=1%3D1&amp;f=geojson&amp;outSR=28992</v>
      </c>
    </row>
    <row r="43" spans="1:5" x14ac:dyDescent="0.25">
      <c r="A43" t="s">
        <v>169</v>
      </c>
      <c r="B43" t="s">
        <v>176</v>
      </c>
      <c r="D43" t="s">
        <v>146</v>
      </c>
      <c r="E43" t="str">
        <f t="shared" si="0"/>
        <v>https://services.arcgis.com/OnnVX2wGkBfflKqu/arcgis/rest/services/HHSK_Kunstwerken/FeatureServer/8/query?outFields=*&amp;where=1%3D1&amp;f=geojson&amp;outSR=28992</v>
      </c>
    </row>
    <row r="44" spans="1:5" x14ac:dyDescent="0.25">
      <c r="A44" t="s">
        <v>169</v>
      </c>
      <c r="B44" t="s">
        <v>177</v>
      </c>
      <c r="D44" t="s">
        <v>147</v>
      </c>
      <c r="E44" t="str">
        <f t="shared" si="0"/>
        <v>https://services.arcgis.com/OnnVX2wGkBfflKqu/arcgis/rest/services/HHSK_Kunstwerken/FeatureServer/10/query?outFields=*&amp;where=1%3D1&amp;f=geojson&amp;outSR=28992</v>
      </c>
    </row>
    <row r="45" spans="1:5" x14ac:dyDescent="0.25">
      <c r="A45" t="s">
        <v>169</v>
      </c>
      <c r="B45" t="s">
        <v>178</v>
      </c>
      <c r="D45" t="s">
        <v>148</v>
      </c>
      <c r="E45" t="str">
        <f t="shared" si="0"/>
        <v>https://services.arcgis.com/OnnVX2wGkBfflKqu/arcgis/rest/services/HHSK_Kunstwerken/FeatureServer/11/query?outFields=*&amp;where=1%3D1&amp;f=geojson&amp;outSR=28992</v>
      </c>
    </row>
    <row r="46" spans="1:5" x14ac:dyDescent="0.25">
      <c r="A46" t="s">
        <v>169</v>
      </c>
      <c r="B46" t="s">
        <v>179</v>
      </c>
      <c r="D46" t="s">
        <v>149</v>
      </c>
      <c r="E46" t="str">
        <f t="shared" si="0"/>
        <v>https://services.arcgis.com/OnnVX2wGkBfflKqu/arcgis/rest/services/HHSK_Kunstwerken/FeatureServer/13/query?outFields=*&amp;where=1%3D1&amp;f=geojson&amp;outSR=28992</v>
      </c>
    </row>
    <row r="47" spans="1:5" x14ac:dyDescent="0.25">
      <c r="A47" t="s">
        <v>169</v>
      </c>
      <c r="B47" t="s">
        <v>180</v>
      </c>
      <c r="D47" t="s">
        <v>150</v>
      </c>
      <c r="E47" t="str">
        <f t="shared" si="0"/>
        <v>https://services.arcgis.com/OnnVX2wGkBfflKqu/arcgis/rest/services/HHSK_Kunstwerken/FeatureServer/14/query?outFields=*&amp;where=1%3D1&amp;f=geojson&amp;outSR=28992</v>
      </c>
    </row>
    <row r="48" spans="1:5" x14ac:dyDescent="0.25">
      <c r="A48" t="s">
        <v>169</v>
      </c>
      <c r="B48" t="s">
        <v>181</v>
      </c>
      <c r="D48" t="s">
        <v>151</v>
      </c>
      <c r="E48" t="str">
        <f t="shared" si="0"/>
        <v>https://services.arcgis.com/OnnVX2wGkBfflKqu/arcgis/rest/services/HHSK_Kunstwerken/FeatureServer/16/query?outFields=*&amp;where=1%3D1&amp;f=geojson&amp;outSR=28992</v>
      </c>
    </row>
    <row r="49" spans="1:5" x14ac:dyDescent="0.25">
      <c r="A49" t="s">
        <v>169</v>
      </c>
      <c r="B49" t="s">
        <v>182</v>
      </c>
      <c r="D49" t="s">
        <v>152</v>
      </c>
      <c r="E49" t="str">
        <f t="shared" si="0"/>
        <v>https://services.arcgis.com/OnnVX2wGkBfflKqu/arcgis/rest/services/HHSK_Kunstwerken/FeatureServer/17/query?outFields=*&amp;where=1%3D1&amp;f=geojson&amp;outSR=28992</v>
      </c>
    </row>
    <row r="50" spans="1:5" x14ac:dyDescent="0.25">
      <c r="A50" t="s">
        <v>169</v>
      </c>
      <c r="B50" t="s">
        <v>183</v>
      </c>
      <c r="D50" t="s">
        <v>153</v>
      </c>
      <c r="E50" t="str">
        <f t="shared" si="0"/>
        <v>https://services.arcgis.com/OnnVX2wGkBfflKqu/arcgis/rest/services/HHSK_Kunstwerken/FeatureServer/18/query?outFields=*&amp;where=1%3D1&amp;f=geojson&amp;outSR=28992</v>
      </c>
    </row>
    <row r="51" spans="1:5" x14ac:dyDescent="0.25">
      <c r="A51" t="s">
        <v>169</v>
      </c>
      <c r="B51" t="s">
        <v>184</v>
      </c>
      <c r="D51" t="s">
        <v>154</v>
      </c>
      <c r="E51" t="str">
        <f t="shared" si="0"/>
        <v>https://services.arcgis.com/OnnVX2wGkBfflKqu/arcgis/rest/services/HHSK_Kunstwerken/FeatureServer/19/query?outFields=*&amp;where=1%3D1&amp;f=geojson&amp;outSR=28992</v>
      </c>
    </row>
    <row r="52" spans="1:5" x14ac:dyDescent="0.25">
      <c r="A52" t="s">
        <v>169</v>
      </c>
      <c r="B52" t="s">
        <v>185</v>
      </c>
      <c r="D52" t="s">
        <v>155</v>
      </c>
      <c r="E52" t="str">
        <f t="shared" si="0"/>
        <v>https://services.arcgis.com/OnnVX2wGkBfflKqu/arcgis/rest/services/HHSK_Kunstwerken/FeatureServer/20/query?outFields=*&amp;where=1%3D1&amp;f=geojson&amp;outSR=28992</v>
      </c>
    </row>
    <row r="53" spans="1:5" x14ac:dyDescent="0.25">
      <c r="A53" t="s">
        <v>169</v>
      </c>
      <c r="B53" t="s">
        <v>186</v>
      </c>
      <c r="D53" t="s">
        <v>156</v>
      </c>
      <c r="E53" t="str">
        <f t="shared" si="0"/>
        <v>https://services.arcgis.com/OnnVX2wGkBfflKqu/arcgis/rest/services/HHSK_Kunstwerken/FeatureServer/21/query?outFields=*&amp;where=1%3D1&amp;f=geojson&amp;outSR=28992</v>
      </c>
    </row>
    <row r="54" spans="1:5" x14ac:dyDescent="0.25">
      <c r="A54" t="s">
        <v>169</v>
      </c>
      <c r="B54" t="s">
        <v>187</v>
      </c>
      <c r="D54" t="s">
        <v>157</v>
      </c>
      <c r="E54" t="str">
        <f t="shared" si="0"/>
        <v>https://services.arcgis.com/OnnVX2wGkBfflKqu/arcgis/rest/services/HHSK_Kunstwerken/FeatureServer/23/query?outFields=*&amp;where=1%3D1&amp;f=geojson&amp;outSR=28992</v>
      </c>
    </row>
    <row r="55" spans="1:5" x14ac:dyDescent="0.25">
      <c r="A55" t="s">
        <v>169</v>
      </c>
      <c r="B55" t="s">
        <v>188</v>
      </c>
      <c r="D55" t="s">
        <v>158</v>
      </c>
      <c r="E55" t="str">
        <f t="shared" si="0"/>
        <v>https://services.arcgis.com/OnnVX2wGkBfflKqu/arcgis/rest/services/HHSK_Kunstwerken/FeatureServer/24/query?outFields=*&amp;where=1%3D1&amp;f=geojson&amp;outSR=28992</v>
      </c>
    </row>
    <row r="56" spans="1:5" x14ac:dyDescent="0.25">
      <c r="A56" t="s">
        <v>169</v>
      </c>
      <c r="B56" t="s">
        <v>189</v>
      </c>
      <c r="D56" t="s">
        <v>159</v>
      </c>
      <c r="E56" t="str">
        <f t="shared" si="0"/>
        <v>https://services.arcgis.com/OnnVX2wGkBfflKqu/arcgis/rest/services/HHSK_Kunstwerken/FeatureServer/26/query?outFields=*&amp;where=1%3D1&amp;f=geojson&amp;outSR=28992</v>
      </c>
    </row>
    <row r="57" spans="1:5" x14ac:dyDescent="0.25">
      <c r="A57" t="s">
        <v>169</v>
      </c>
      <c r="B57" t="s">
        <v>190</v>
      </c>
      <c r="D57" t="s">
        <v>160</v>
      </c>
      <c r="E57" t="str">
        <f t="shared" si="0"/>
        <v>https://services.arcgis.com/OnnVX2wGkBfflKqu/arcgis/rest/services/HHSK_Kunstwerken/FeatureServer/27/query?outFields=*&amp;where=1%3D1&amp;f=geojson&amp;outSR=28992</v>
      </c>
    </row>
    <row r="58" spans="1:5" x14ac:dyDescent="0.25">
      <c r="A58" t="s">
        <v>169</v>
      </c>
      <c r="B58" t="s">
        <v>191</v>
      </c>
      <c r="D58" t="s">
        <v>161</v>
      </c>
      <c r="E58" t="str">
        <f t="shared" si="0"/>
        <v>https://services.arcgis.com/OnnVX2wGkBfflKqu/arcgis/rest/services/HHSK_Kunstwerken/FeatureServer/29/query?outFields=*&amp;where=1%3D1&amp;f=geojson&amp;outSR=28992</v>
      </c>
    </row>
    <row r="59" spans="1:5" x14ac:dyDescent="0.25">
      <c r="A59" t="s">
        <v>169</v>
      </c>
      <c r="B59" t="s">
        <v>192</v>
      </c>
      <c r="D59" t="s">
        <v>162</v>
      </c>
      <c r="E59" t="str">
        <f t="shared" si="0"/>
        <v>https://services.arcgis.com/OnnVX2wGkBfflKqu/arcgis/rest/services/HHSK_Kunstwerken/FeatureServer/30/query?outFields=*&amp;where=1%3D1&amp;f=geojson&amp;outSR=28992</v>
      </c>
    </row>
    <row r="60" spans="1:5" x14ac:dyDescent="0.25">
      <c r="A60" t="s">
        <v>169</v>
      </c>
      <c r="B60" t="s">
        <v>193</v>
      </c>
      <c r="D60" t="s">
        <v>163</v>
      </c>
      <c r="E60" t="str">
        <f t="shared" si="0"/>
        <v>https://services.arcgis.com/OnnVX2wGkBfflKqu/arcgis/rest/services/HHSK_Kunstwerken/FeatureServer/31/query?outFields=*&amp;where=1%3D1&amp;f=geojson&amp;outSR=28992</v>
      </c>
    </row>
    <row r="61" spans="1:5" x14ac:dyDescent="0.25">
      <c r="A61" t="s">
        <v>169</v>
      </c>
      <c r="B61" t="s">
        <v>194</v>
      </c>
      <c r="D61" t="s">
        <v>164</v>
      </c>
      <c r="E61" t="str">
        <f t="shared" si="0"/>
        <v>https://services.arcgis.com/OnnVX2wGkBfflKqu/arcgis/rest/services/HHSK_Kunstwerken/FeatureServer/32/query?outFields=*&amp;where=1%3D1&amp;f=geojson&amp;outSR=28992</v>
      </c>
    </row>
  </sheetData>
  <autoFilter ref="A1:D61" xr:uid="{4A1044E1-9F04-4AA2-9B7D-64A9A5274C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C416-22C1-4A31-A856-C227E4AECEE7}">
  <dimension ref="A1:I72"/>
  <sheetViews>
    <sheetView topLeftCell="A61" workbookViewId="0">
      <selection activeCell="A2" sqref="A2:B72"/>
    </sheetView>
  </sheetViews>
  <sheetFormatPr defaultRowHeight="15" x14ac:dyDescent="0.25"/>
  <cols>
    <col min="1" max="1" width="93" bestFit="1" customWidth="1"/>
    <col min="2" max="2" width="4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34</v>
      </c>
      <c r="B3" t="s">
        <v>55</v>
      </c>
    </row>
    <row r="4" spans="1:2" x14ac:dyDescent="0.25">
      <c r="A4" t="s">
        <v>35</v>
      </c>
      <c r="B4" t="s">
        <v>56</v>
      </c>
    </row>
    <row r="5" spans="1:2" x14ac:dyDescent="0.25">
      <c r="A5" t="s">
        <v>36</v>
      </c>
      <c r="B5" t="s">
        <v>57</v>
      </c>
    </row>
    <row r="6" spans="1:2" x14ac:dyDescent="0.25">
      <c r="A6" t="s">
        <v>37</v>
      </c>
      <c r="B6" t="s">
        <v>58</v>
      </c>
    </row>
    <row r="8" spans="1:2" x14ac:dyDescent="0.25">
      <c r="A8" t="s">
        <v>5</v>
      </c>
    </row>
    <row r="9" spans="1:2" x14ac:dyDescent="0.25">
      <c r="A9" t="s">
        <v>38</v>
      </c>
      <c r="B9" t="s">
        <v>59</v>
      </c>
    </row>
    <row r="10" spans="1:2" x14ac:dyDescent="0.25">
      <c r="A10" t="s">
        <v>39</v>
      </c>
      <c r="B10" t="s">
        <v>60</v>
      </c>
    </row>
    <row r="11" spans="1:2" x14ac:dyDescent="0.25">
      <c r="A11" t="s">
        <v>40</v>
      </c>
      <c r="B11" t="s">
        <v>61</v>
      </c>
    </row>
    <row r="12" spans="1:2" x14ac:dyDescent="0.25">
      <c r="A12" t="s">
        <v>41</v>
      </c>
      <c r="B12" t="s">
        <v>62</v>
      </c>
    </row>
    <row r="13" spans="1:2" x14ac:dyDescent="0.25">
      <c r="A13" t="s">
        <v>42</v>
      </c>
      <c r="B13" t="s">
        <v>63</v>
      </c>
    </row>
    <row r="14" spans="1:2" x14ac:dyDescent="0.25">
      <c r="A14" t="s">
        <v>43</v>
      </c>
      <c r="B14" t="s">
        <v>64</v>
      </c>
    </row>
    <row r="15" spans="1:2" x14ac:dyDescent="0.25">
      <c r="A15" t="s">
        <v>44</v>
      </c>
      <c r="B15" t="s">
        <v>65</v>
      </c>
    </row>
    <row r="16" spans="1:2" x14ac:dyDescent="0.25">
      <c r="A16" t="s">
        <v>45</v>
      </c>
      <c r="B16" t="s">
        <v>66</v>
      </c>
    </row>
    <row r="17" spans="1:5" x14ac:dyDescent="0.25">
      <c r="A17" t="s">
        <v>46</v>
      </c>
      <c r="B17" t="s">
        <v>67</v>
      </c>
    </row>
    <row r="19" spans="1:5" x14ac:dyDescent="0.25">
      <c r="A19" t="s">
        <v>6</v>
      </c>
    </row>
    <row r="20" spans="1:5" x14ac:dyDescent="0.25">
      <c r="A20" t="s">
        <v>47</v>
      </c>
      <c r="B20" t="s">
        <v>68</v>
      </c>
    </row>
    <row r="21" spans="1:5" x14ac:dyDescent="0.25">
      <c r="A21" t="s">
        <v>48</v>
      </c>
      <c r="B21" t="s">
        <v>69</v>
      </c>
    </row>
    <row r="22" spans="1:5" x14ac:dyDescent="0.25">
      <c r="A22" t="s">
        <v>49</v>
      </c>
      <c r="B22" t="s">
        <v>70</v>
      </c>
    </row>
    <row r="23" spans="1:5" x14ac:dyDescent="0.25">
      <c r="A23" t="s">
        <v>50</v>
      </c>
      <c r="B23" t="s">
        <v>71</v>
      </c>
    </row>
    <row r="24" spans="1:5" x14ac:dyDescent="0.25">
      <c r="A24" t="s">
        <v>51</v>
      </c>
      <c r="B24" t="s">
        <v>72</v>
      </c>
    </row>
    <row r="25" spans="1:5" x14ac:dyDescent="0.25">
      <c r="A25" t="s">
        <v>52</v>
      </c>
      <c r="B25" t="s">
        <v>73</v>
      </c>
    </row>
    <row r="27" spans="1:5" x14ac:dyDescent="0.25">
      <c r="A27" t="s">
        <v>7</v>
      </c>
    </row>
    <row r="28" spans="1:5" x14ac:dyDescent="0.25">
      <c r="A28" t="s">
        <v>53</v>
      </c>
      <c r="B28" t="s">
        <v>74</v>
      </c>
    </row>
    <row r="30" spans="1:5" x14ac:dyDescent="0.25">
      <c r="A30" t="str">
        <f>"url_meetpunten_"&amp;LOWER(E30)</f>
        <v>url_meetpunten_regulier</v>
      </c>
      <c r="B30" t="str">
        <f>"Waterkwaliteitsmeetpunt/FeatureServer/"&amp;C30</f>
        <v>Waterkwaliteitsmeetpunt/FeatureServer/0</v>
      </c>
      <c r="C30">
        <v>0</v>
      </c>
      <c r="E30" t="s">
        <v>76</v>
      </c>
    </row>
    <row r="31" spans="1:5" x14ac:dyDescent="0.25">
      <c r="A31" t="str">
        <f t="shared" ref="A31:A43" si="0">"url_meetpunten_"&amp;LOWER(E31)</f>
        <v>url_meetpunten_krw</v>
      </c>
      <c r="B31" t="str">
        <f t="shared" ref="B31:B43" si="1">"Waterkwaliteitsmeetpunt/FeatureServer/"&amp;C31</f>
        <v>Waterkwaliteitsmeetpunt/FeatureServer/1</v>
      </c>
      <c r="C31">
        <v>1</v>
      </c>
      <c r="E31" t="s">
        <v>77</v>
      </c>
    </row>
    <row r="32" spans="1:5" x14ac:dyDescent="0.25">
      <c r="A32" t="str">
        <f t="shared" si="0"/>
        <v>url_meetpunten_quickscan</v>
      </c>
      <c r="B32" t="str">
        <f t="shared" si="1"/>
        <v>Waterkwaliteitsmeetpunt/FeatureServer/2</v>
      </c>
      <c r="C32">
        <v>2</v>
      </c>
      <c r="E32" t="s">
        <v>78</v>
      </c>
    </row>
    <row r="33" spans="1:9" x14ac:dyDescent="0.25">
      <c r="A33" t="str">
        <f t="shared" si="0"/>
        <v>url_meetpunten_vlakdekkend</v>
      </c>
      <c r="B33" t="str">
        <f t="shared" si="1"/>
        <v>Waterkwaliteitsmeetpunt/FeatureServer/3</v>
      </c>
      <c r="C33">
        <v>3</v>
      </c>
      <c r="E33" t="s">
        <v>79</v>
      </c>
    </row>
    <row r="34" spans="1:9" x14ac:dyDescent="0.25">
      <c r="A34" t="str">
        <f t="shared" si="0"/>
        <v>url_meetpunten_kwa</v>
      </c>
      <c r="B34" t="str">
        <f t="shared" si="1"/>
        <v>Waterkwaliteitsmeetpunt/FeatureServer/4</v>
      </c>
      <c r="C34">
        <v>4</v>
      </c>
      <c r="E34" t="s">
        <v>80</v>
      </c>
    </row>
    <row r="35" spans="1:9" x14ac:dyDescent="0.25">
      <c r="A35" t="str">
        <f t="shared" si="0"/>
        <v>url_meetpunten_diepteprofiel</v>
      </c>
      <c r="B35" t="str">
        <f t="shared" si="1"/>
        <v>Waterkwaliteitsmeetpunt/FeatureServer/5</v>
      </c>
      <c r="C35">
        <v>5</v>
      </c>
      <c r="E35" t="s">
        <v>81</v>
      </c>
    </row>
    <row r="36" spans="1:9" x14ac:dyDescent="0.25">
      <c r="A36" t="str">
        <f t="shared" si="0"/>
        <v>url_meetpunten_nvo</v>
      </c>
      <c r="B36" t="str">
        <f t="shared" si="1"/>
        <v>Waterkwaliteitsmeetpunt/FeatureServer/6</v>
      </c>
      <c r="C36">
        <v>6</v>
      </c>
      <c r="E36" t="s">
        <v>82</v>
      </c>
    </row>
    <row r="37" spans="1:9" x14ac:dyDescent="0.25">
      <c r="A37" t="str">
        <f t="shared" si="0"/>
        <v>url_meetpunten_vis</v>
      </c>
      <c r="B37" t="str">
        <f t="shared" si="1"/>
        <v>Waterkwaliteitsmeetpunt/FeatureServer/7</v>
      </c>
      <c r="C37">
        <v>7</v>
      </c>
      <c r="E37" t="s">
        <v>83</v>
      </c>
    </row>
    <row r="38" spans="1:9" x14ac:dyDescent="0.25">
      <c r="A38" t="str">
        <f t="shared" si="0"/>
        <v>url_meetpunten_maaibeheer</v>
      </c>
      <c r="B38" t="str">
        <f t="shared" si="1"/>
        <v>Waterkwaliteitsmeetpunt/FeatureServer/8</v>
      </c>
      <c r="C38">
        <v>8</v>
      </c>
      <c r="E38" t="s">
        <v>84</v>
      </c>
    </row>
    <row r="39" spans="1:9" x14ac:dyDescent="0.25">
      <c r="A39" t="str">
        <f t="shared" si="0"/>
        <v>url_meetpunten_stadswater</v>
      </c>
      <c r="B39" t="str">
        <f t="shared" si="1"/>
        <v>Waterkwaliteitsmeetpunt/FeatureServer/9</v>
      </c>
      <c r="C39">
        <v>9</v>
      </c>
      <c r="E39" t="s">
        <v>85</v>
      </c>
    </row>
    <row r="40" spans="1:9" x14ac:dyDescent="0.25">
      <c r="A40" t="str">
        <f t="shared" si="0"/>
        <v>url_meetpunten_gebiedsgerichte_aanpak</v>
      </c>
      <c r="B40" t="str">
        <f t="shared" si="1"/>
        <v>Waterkwaliteitsmeetpunt/FeatureServer/10</v>
      </c>
      <c r="C40">
        <v>10</v>
      </c>
      <c r="E40" t="s">
        <v>88</v>
      </c>
    </row>
    <row r="41" spans="1:9" x14ac:dyDescent="0.25">
      <c r="A41" t="str">
        <f t="shared" si="0"/>
        <v>url_meetpunten_ad_hoc</v>
      </c>
      <c r="B41" t="str">
        <f t="shared" si="1"/>
        <v>Waterkwaliteitsmeetpunt/FeatureServer/11</v>
      </c>
      <c r="C41">
        <v>11</v>
      </c>
      <c r="E41" t="s">
        <v>89</v>
      </c>
    </row>
    <row r="42" spans="1:9" x14ac:dyDescent="0.25">
      <c r="A42" t="str">
        <f t="shared" si="0"/>
        <v>url_meetpunten_handhaving</v>
      </c>
      <c r="B42" t="str">
        <f t="shared" si="1"/>
        <v>Waterkwaliteitsmeetpunt/FeatureServer/12</v>
      </c>
      <c r="C42">
        <v>12</v>
      </c>
      <c r="E42" t="s">
        <v>86</v>
      </c>
    </row>
    <row r="43" spans="1:9" x14ac:dyDescent="0.25">
      <c r="A43" t="str">
        <f t="shared" si="0"/>
        <v>url_meetpunten_overig</v>
      </c>
      <c r="B43" t="str">
        <f t="shared" si="1"/>
        <v>Waterkwaliteitsmeetpunt/FeatureServer/13</v>
      </c>
      <c r="C43">
        <v>13</v>
      </c>
      <c r="E43" t="s">
        <v>87</v>
      </c>
    </row>
    <row r="46" spans="1:9" x14ac:dyDescent="0.25">
      <c r="A46" t="s">
        <v>8</v>
      </c>
    </row>
    <row r="47" spans="1:9" x14ac:dyDescent="0.25">
      <c r="A47" t="s">
        <v>54</v>
      </c>
      <c r="B47" t="s">
        <v>75</v>
      </c>
    </row>
    <row r="48" spans="1:9" x14ac:dyDescent="0.25">
      <c r="A48" t="str">
        <f>"url_beheer_"&amp;LOWER(E48)</f>
        <v>url_beheer_sluis</v>
      </c>
      <c r="B48" t="str">
        <f>"HHSK_Kunstwerken/FeatureServer/"&amp;C48</f>
        <v>HHSK_Kunstwerken/FeatureServer/0</v>
      </c>
      <c r="C48">
        <v>0</v>
      </c>
      <c r="E48" t="s">
        <v>90</v>
      </c>
      <c r="I48" t="s">
        <v>9</v>
      </c>
    </row>
    <row r="49" spans="1:9" x14ac:dyDescent="0.25">
      <c r="A49" t="str">
        <f t="shared" ref="A49:A72" si="2">"url_beheer_"&amp;LOWER(E49)</f>
        <v>url_beheer_aquaduct</v>
      </c>
      <c r="B49" t="str">
        <f t="shared" ref="B49:B72" si="3">"HHSK_Kunstwerken/FeatureServer/"&amp;C49</f>
        <v>HHSK_Kunstwerken/FeatureServer/1</v>
      </c>
      <c r="C49">
        <v>1</v>
      </c>
      <c r="E49" t="s">
        <v>91</v>
      </c>
      <c r="I49" t="s">
        <v>10</v>
      </c>
    </row>
    <row r="50" spans="1:9" x14ac:dyDescent="0.25">
      <c r="A50" t="str">
        <f t="shared" si="2"/>
        <v>url_beheer_gemaal</v>
      </c>
      <c r="B50" t="str">
        <f t="shared" si="3"/>
        <v>HHSK_Kunstwerken/FeatureServer/2</v>
      </c>
      <c r="C50">
        <v>2</v>
      </c>
      <c r="E50" t="s">
        <v>92</v>
      </c>
      <c r="I50" t="s">
        <v>11</v>
      </c>
    </row>
    <row r="51" spans="1:9" x14ac:dyDescent="0.25">
      <c r="A51" t="str">
        <f t="shared" si="2"/>
        <v>url_beheer_stuw</v>
      </c>
      <c r="B51" t="str">
        <f t="shared" si="3"/>
        <v>HHSK_Kunstwerken/FeatureServer/4</v>
      </c>
      <c r="C51">
        <v>4</v>
      </c>
      <c r="E51" t="s">
        <v>93</v>
      </c>
      <c r="I51" t="s">
        <v>12</v>
      </c>
    </row>
    <row r="52" spans="1:9" x14ac:dyDescent="0.25">
      <c r="A52" t="str">
        <f t="shared" si="2"/>
        <v>url_beheer_stuw_lijn</v>
      </c>
      <c r="B52" t="str">
        <f t="shared" si="3"/>
        <v>HHSK_Kunstwerken/FeatureServer/5</v>
      </c>
      <c r="C52">
        <v>5</v>
      </c>
      <c r="E52" t="s">
        <v>103</v>
      </c>
      <c r="I52" t="s">
        <v>13</v>
      </c>
    </row>
    <row r="53" spans="1:9" x14ac:dyDescent="0.25">
      <c r="A53" t="str">
        <f t="shared" si="2"/>
        <v>url_beheer_vaste_dam</v>
      </c>
      <c r="B53" t="str">
        <f t="shared" si="3"/>
        <v>HHSK_Kunstwerken/FeatureServer/7</v>
      </c>
      <c r="C53">
        <v>7</v>
      </c>
      <c r="E53" t="s">
        <v>104</v>
      </c>
      <c r="I53" t="s">
        <v>14</v>
      </c>
    </row>
    <row r="54" spans="1:9" x14ac:dyDescent="0.25">
      <c r="A54" t="str">
        <f t="shared" si="2"/>
        <v>url_beheer_afsluitmiddel</v>
      </c>
      <c r="B54" t="str">
        <f t="shared" si="3"/>
        <v>HHSK_Kunstwerken/FeatureServer/8</v>
      </c>
      <c r="C54">
        <v>8</v>
      </c>
      <c r="E54" t="s">
        <v>94</v>
      </c>
      <c r="I54" t="s">
        <v>15</v>
      </c>
    </row>
    <row r="55" spans="1:9" x14ac:dyDescent="0.25">
      <c r="A55" t="str">
        <f t="shared" si="2"/>
        <v>url_beheer_duiker</v>
      </c>
      <c r="B55" t="str">
        <f t="shared" si="3"/>
        <v>HHSK_Kunstwerken/FeatureServer/10</v>
      </c>
      <c r="C55">
        <v>10</v>
      </c>
      <c r="E55" t="s">
        <v>95</v>
      </c>
      <c r="I55" t="s">
        <v>16</v>
      </c>
    </row>
    <row r="56" spans="1:9" x14ac:dyDescent="0.25">
      <c r="A56" t="str">
        <f t="shared" si="2"/>
        <v>url_beheer_duiker_punt</v>
      </c>
      <c r="B56" t="str">
        <f t="shared" si="3"/>
        <v>HHSK_Kunstwerken/FeatureServer/11</v>
      </c>
      <c r="C56">
        <v>11</v>
      </c>
      <c r="E56" t="s">
        <v>105</v>
      </c>
      <c r="I56" t="s">
        <v>17</v>
      </c>
    </row>
    <row r="57" spans="1:9" x14ac:dyDescent="0.25">
      <c r="A57" t="str">
        <f t="shared" si="2"/>
        <v>url_beheer_inlaat</v>
      </c>
      <c r="B57" t="str">
        <f t="shared" si="3"/>
        <v>HHSK_Kunstwerken/FeatureServer/13</v>
      </c>
      <c r="C57">
        <v>13</v>
      </c>
      <c r="E57" t="s">
        <v>96</v>
      </c>
      <c r="I57" t="s">
        <v>18</v>
      </c>
    </row>
    <row r="58" spans="1:9" x14ac:dyDescent="0.25">
      <c r="A58" t="str">
        <f t="shared" si="2"/>
        <v>url_beheer_inlaat_punt</v>
      </c>
      <c r="B58" t="str">
        <f t="shared" si="3"/>
        <v>HHSK_Kunstwerken/FeatureServer/14</v>
      </c>
      <c r="C58">
        <v>14</v>
      </c>
      <c r="E58" t="s">
        <v>106</v>
      </c>
      <c r="I58" t="s">
        <v>19</v>
      </c>
    </row>
    <row r="59" spans="1:9" x14ac:dyDescent="0.25">
      <c r="A59" t="str">
        <f t="shared" si="2"/>
        <v>url_beheer_sifon</v>
      </c>
      <c r="B59" t="str">
        <f t="shared" si="3"/>
        <v>HHSK_Kunstwerken/FeatureServer/16</v>
      </c>
      <c r="C59">
        <v>16</v>
      </c>
      <c r="E59" t="s">
        <v>97</v>
      </c>
      <c r="I59" t="s">
        <v>20</v>
      </c>
    </row>
    <row r="60" spans="1:9" x14ac:dyDescent="0.25">
      <c r="A60" t="str">
        <f t="shared" si="2"/>
        <v>url_beheer_sifon_punt</v>
      </c>
      <c r="B60" t="str">
        <f t="shared" si="3"/>
        <v>HHSK_Kunstwerken/FeatureServer/17</v>
      </c>
      <c r="C60">
        <v>17</v>
      </c>
      <c r="E60" t="s">
        <v>107</v>
      </c>
      <c r="I60" t="s">
        <v>21</v>
      </c>
    </row>
    <row r="61" spans="1:9" x14ac:dyDescent="0.25">
      <c r="A61" t="str">
        <f t="shared" si="2"/>
        <v>url_beheer_brug</v>
      </c>
      <c r="B61" t="str">
        <f t="shared" si="3"/>
        <v>HHSK_Kunstwerken/FeatureServer/18</v>
      </c>
      <c r="C61">
        <v>18</v>
      </c>
      <c r="E61" t="s">
        <v>98</v>
      </c>
      <c r="I61" t="s">
        <v>22</v>
      </c>
    </row>
    <row r="62" spans="1:9" x14ac:dyDescent="0.25">
      <c r="A62" t="str">
        <f t="shared" si="2"/>
        <v>url_beheer_put</v>
      </c>
      <c r="B62" t="str">
        <f t="shared" si="3"/>
        <v>HHSK_Kunstwerken/FeatureServer/19</v>
      </c>
      <c r="C62">
        <v>19</v>
      </c>
      <c r="E62" t="s">
        <v>99</v>
      </c>
      <c r="I62" t="s">
        <v>23</v>
      </c>
    </row>
    <row r="63" spans="1:9" x14ac:dyDescent="0.25">
      <c r="A63" t="str">
        <f t="shared" si="2"/>
        <v>url_beheer_coupure</v>
      </c>
      <c r="B63" t="str">
        <f t="shared" si="3"/>
        <v>HHSK_Kunstwerken/FeatureServer/20</v>
      </c>
      <c r="C63">
        <v>20</v>
      </c>
      <c r="E63" t="s">
        <v>100</v>
      </c>
      <c r="I63" t="s">
        <v>24</v>
      </c>
    </row>
    <row r="64" spans="1:9" x14ac:dyDescent="0.25">
      <c r="A64" t="str">
        <f t="shared" si="2"/>
        <v>url_beheer_kwelscherm</v>
      </c>
      <c r="B64" t="str">
        <f t="shared" si="3"/>
        <v>HHSK_Kunstwerken/FeatureServer/21</v>
      </c>
      <c r="C64">
        <v>21</v>
      </c>
      <c r="E64" t="s">
        <v>101</v>
      </c>
      <c r="I64" t="s">
        <v>25</v>
      </c>
    </row>
    <row r="65" spans="1:9" x14ac:dyDescent="0.25">
      <c r="A65" t="str">
        <f t="shared" si="2"/>
        <v>url_beheer_drainage_punt</v>
      </c>
      <c r="B65" t="str">
        <f t="shared" si="3"/>
        <v>HHSK_Kunstwerken/FeatureServer/23</v>
      </c>
      <c r="C65">
        <v>23</v>
      </c>
      <c r="E65" t="s">
        <v>108</v>
      </c>
      <c r="I65" t="s">
        <v>26</v>
      </c>
    </row>
    <row r="66" spans="1:9" x14ac:dyDescent="0.25">
      <c r="A66" t="str">
        <f t="shared" si="2"/>
        <v>url_beheer_drainage</v>
      </c>
      <c r="B66" t="str">
        <f t="shared" si="3"/>
        <v>HHSK_Kunstwerken/FeatureServer/24</v>
      </c>
      <c r="C66">
        <v>24</v>
      </c>
      <c r="E66" t="s">
        <v>102</v>
      </c>
      <c r="I66" t="s">
        <v>27</v>
      </c>
    </row>
    <row r="67" spans="1:9" x14ac:dyDescent="0.25">
      <c r="A67" t="str">
        <f t="shared" si="2"/>
        <v>url_beheer_tunnel_punt</v>
      </c>
      <c r="B67" t="str">
        <f t="shared" si="3"/>
        <v>HHSK_Kunstwerken/FeatureServer/26</v>
      </c>
      <c r="C67">
        <v>26</v>
      </c>
      <c r="E67" t="s">
        <v>109</v>
      </c>
      <c r="I67" t="s">
        <v>28</v>
      </c>
    </row>
    <row r="68" spans="1:9" x14ac:dyDescent="0.25">
      <c r="A68" t="str">
        <f t="shared" si="2"/>
        <v>url_beheer_tunnel_lijn</v>
      </c>
      <c r="B68" t="str">
        <f t="shared" si="3"/>
        <v>HHSK_Kunstwerken/FeatureServer/27</v>
      </c>
      <c r="C68">
        <v>27</v>
      </c>
      <c r="E68" t="s">
        <v>110</v>
      </c>
      <c r="I68" t="s">
        <v>29</v>
      </c>
    </row>
    <row r="69" spans="1:9" x14ac:dyDescent="0.25">
      <c r="A69" t="str">
        <f t="shared" si="2"/>
        <v>url_beheer_wandconstructie_punt</v>
      </c>
      <c r="B69" t="str">
        <f t="shared" si="3"/>
        <v>HHSK_Kunstwerken/FeatureServer/29</v>
      </c>
      <c r="C69">
        <v>29</v>
      </c>
      <c r="E69" t="s">
        <v>111</v>
      </c>
      <c r="I69" t="s">
        <v>30</v>
      </c>
    </row>
    <row r="70" spans="1:9" x14ac:dyDescent="0.25">
      <c r="A70" t="str">
        <f t="shared" si="2"/>
        <v>url_beheer_wandconstructie_lijn</v>
      </c>
      <c r="B70" t="str">
        <f t="shared" si="3"/>
        <v>HHSK_Kunstwerken/FeatureServer/30</v>
      </c>
      <c r="C70">
        <v>30</v>
      </c>
      <c r="E70" t="s">
        <v>112</v>
      </c>
      <c r="I70" t="s">
        <v>31</v>
      </c>
    </row>
    <row r="71" spans="1:9" x14ac:dyDescent="0.25">
      <c r="A71" t="str">
        <f t="shared" si="2"/>
        <v>url_beheer_wandconstructie_vlak</v>
      </c>
      <c r="B71" t="str">
        <f t="shared" si="3"/>
        <v>HHSK_Kunstwerken/FeatureServer/31</v>
      </c>
      <c r="C71">
        <v>31</v>
      </c>
      <c r="E71" t="s">
        <v>113</v>
      </c>
      <c r="I71" t="s">
        <v>32</v>
      </c>
    </row>
    <row r="72" spans="1:9" x14ac:dyDescent="0.25">
      <c r="A72" t="str">
        <f t="shared" si="2"/>
        <v>url_beheer_verankering_lijn</v>
      </c>
      <c r="B72" t="str">
        <f t="shared" si="3"/>
        <v>HHSK_Kunstwerken/FeatureServer/32</v>
      </c>
      <c r="C72">
        <v>32</v>
      </c>
      <c r="E72" t="s">
        <v>114</v>
      </c>
      <c r="I7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werkblad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2025-12-29T07:35:29Z</dcterms:created>
  <dcterms:modified xsi:type="dcterms:W3CDTF">2025-12-29T08:48:14Z</dcterms:modified>
</cp:coreProperties>
</file>